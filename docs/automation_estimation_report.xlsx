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PEGUANACASTE" state="visible" r:id="rId4"/>
    <sheet sheetId="2" name="EMBRIX" state="visible" r:id="rId5"/>
  </sheets>
  <calcPr calcId="171027"/>
</workbook>
</file>

<file path=xl/sharedStrings.xml><?xml version="1.0" encoding="utf-8"?>
<sst xmlns="http://schemas.openxmlformats.org/spreadsheetml/2006/main" count="430" uniqueCount="255">
  <si>
    <t>Start Date:</t>
  </si>
  <si>
    <t>05/06/26</t>
  </si>
  <si>
    <t>TC ID</t>
  </si>
  <si>
    <t>Test Case Name</t>
  </si>
  <si>
    <t>Priority</t>
  </si>
  <si>
    <t>Steps</t>
  </si>
  <si>
    <t>Page Objects Required</t>
  </si>
  <si>
    <t>Status</t>
  </si>
  <si>
    <t>Est. Effort (Hours)</t>
  </si>
  <si>
    <t>Work-Days</t>
  </si>
  <si>
    <t>Estimated Date</t>
  </si>
  <si>
    <t>TC-01</t>
  </si>
  <si>
    <t>Residential Account Creation</t>
  </si>
  <si>
    <t>P1</t>
  </si>
  <si>
    <t>None (use existing)</t>
  </si>
  <si>
    <t>✅ Automated</t>
  </si>
  <si>
    <t>-</t>
  </si>
  <si>
    <t>TC-02</t>
  </si>
  <si>
    <t>Installation Invoice Payment</t>
  </si>
  <si>
    <t>TC-03</t>
  </si>
  <si>
    <t>Successful Provisioning</t>
  </si>
  <si>
    <t>customer-hub/customer-management/customer-management.page.ts, customer-hub/order-management/order-management.page.ts, customer-hub/customer-management/account-details/subscription-data/services.page.ts</t>
  </si>
  <si>
    <t>TC-04</t>
  </si>
  <si>
    <t>Grace Period Billing</t>
  </si>
  <si>
    <t>operations-hub/jobs-management/jobs-management.page.ts [NEW]</t>
  </si>
  <si>
    <t>⏳ Pending</t>
  </si>
  <si>
    <t>08/06/26</t>
  </si>
  <si>
    <t>TC-05</t>
  </si>
  <si>
    <t>Recurring Billing Month 01</t>
  </si>
  <si>
    <t>09/06/26</t>
  </si>
  <si>
    <t>TC-06</t>
  </si>
  <si>
    <t>Recurring Billing Month 02</t>
  </si>
  <si>
    <t>10/06/26</t>
  </si>
  <si>
    <t>TC-07</t>
  </si>
  <si>
    <t>Collection Notification Month 02</t>
  </si>
  <si>
    <t>operations-hub/jobs-management/jobs-management.page.ts [NEW], ar-hub/collections/collection-agents/accounts-in-collection.page.ts [NEW]</t>
  </si>
  <si>
    <t>11/06/26</t>
  </si>
  <si>
    <t>TC-08</t>
  </si>
  <si>
    <t>Full Billing, Collections, Notifications, Suspension and Reconnection Flow (Month 01 to Month 05)</t>
  </si>
  <si>
    <t>operations-hub/jobs-management/jobs-management.page.ts [NEW], ar-hub/ar-operations/ar-operations/adjustment.page.ts [NEW], ar-hub/collections/collection-agents/accounts-in-collection.page.ts [NEW], customer-hub/customer-management/account-details/subscription-data/services.page.ts</t>
  </si>
  <si>
    <t>16/06/26</t>
  </si>
  <si>
    <t>TC-09</t>
  </si>
  <si>
    <t>Validate Full Collections Flow with Payments, Billing and Plan Change</t>
  </si>
  <si>
    <t>ar-hub/collections/collection-agents/accounts-in-collection.page.ts [NEW]</t>
  </si>
  <si>
    <t>18/06/26</t>
  </si>
  <si>
    <t>TC-10</t>
  </si>
  <si>
    <t>Validate Full Residential Account Grace Period (Extension) Flow</t>
  </si>
  <si>
    <t>P3</t>
  </si>
  <si>
    <t>19/06/26</t>
  </si>
  <si>
    <t>TC-TEMP-11</t>
  </si>
  <si>
    <t>P2</t>
  </si>
  <si>
    <t>ar-hub/collections/collection-agents/accounts-in-collection.page.ts [NEW], customer-hub/customer-management/customer-management.page.ts, customer-hub/customer-management/account-details/billing-data/bills.page.ts, customer-hub/customer-management/account-details/account-data/payment-installment.page.ts [NEW]</t>
  </si>
  <si>
    <t>23/06/26</t>
  </si>
  <si>
    <t>TC-11</t>
  </si>
  <si>
    <t>Validate Credit Note Flow</t>
  </si>
  <si>
    <t>ar-hub/ar-operations/ar-operations/adjustment.page.ts [NEW], ar-hub/collections/collection-agents/accounts-in-collection.page.ts [NEW]</t>
  </si>
  <si>
    <t>25/06/26</t>
  </si>
  <si>
    <t>TC-12</t>
  </si>
  <si>
    <t>Validate Debit Note Flow</t>
  </si>
  <si>
    <t>29/06/26</t>
  </si>
  <si>
    <t>TC-13</t>
  </si>
  <si>
    <t>Validate Equipment Retrieval (Cancellation) Order Flow</t>
  </si>
  <si>
    <t>01/07/26</t>
  </si>
  <si>
    <t>TC-14</t>
  </si>
  <si>
    <t>Intercompany Residential Account End-to-End Flow</t>
  </si>
  <si>
    <t>02/07/26</t>
  </si>
  <si>
    <t>TC-15</t>
  </si>
  <si>
    <t>Residential Account with Tax Exemption Validation</t>
  </si>
  <si>
    <t>customer-hub/customer-management/customer-management.page.ts, customer-hub/customer-management/account-details/billing-data/bills.page.ts, customer-hub/customer-management/account-details/account-data/payment-installment.page.ts [NEW], customer-hub/customer-management/account-details/account-data/custom-attributes.page.ts [NEW]</t>
  </si>
  <si>
    <t>06/07/26</t>
  </si>
  <si>
    <t>TC-16</t>
  </si>
  <si>
    <t>PHC Account Creation with Required Bundles</t>
  </si>
  <si>
    <t>07/07/26</t>
  </si>
  <si>
    <t>TC17</t>
  </si>
  <si>
    <t>Subscription Data / Offers – Filter Active Offers</t>
  </si>
  <si>
    <t>customer-hub/customer-management/account-details/subscription-data/services.page.ts</t>
  </si>
  <si>
    <t>TC66</t>
  </si>
  <si>
    <t>Account Data / Tasks – Installment Payment Plan Creation</t>
  </si>
  <si>
    <t>08/07/26</t>
  </si>
  <si>
    <t>TOTAL</t>
  </si>
  <si>
    <t>3 Done / 16 Pending</t>
  </si>
  <si>
    <t>TC-18</t>
  </si>
  <si>
    <t>Residential Account and Order Creation with Internet Bundle</t>
  </si>
  <si>
    <t>customer-hub/customer-management/customer-management.page.ts, customer-hub/order-management/order-management.page.ts</t>
  </si>
  <si>
    <t>13/07/26</t>
  </si>
  <si>
    <t>TC19</t>
  </si>
  <si>
    <t>Create Quotation in Embrix</t>
  </si>
  <si>
    <t>pricing-hub/pricing-management/pricing-catalog/product-family.page.ts [NEW], customer-hub/customer-management/customer-management.page.ts</t>
  </si>
  <si>
    <t>15/07/26</t>
  </si>
  <si>
    <t>TC20</t>
  </si>
  <si>
    <t>Send Existing Order from Order Management</t>
  </si>
  <si>
    <t>16/07/26</t>
  </si>
  <si>
    <t>TC21</t>
  </si>
  <si>
    <t>Invoice Consultation and Validation in Billing Center</t>
  </si>
  <si>
    <t>billing-hub/billing/bulk-operations/bulk-operations.page.ts [NEW], customer-hub/customer-management/account-details/billing-data/bills.page.ts, customer-hub/customer-management/account-details/account-data/payment-installment.page.ts [NEW]</t>
  </si>
  <si>
    <t>20/07/26</t>
  </si>
  <si>
    <t>TC22</t>
  </si>
  <si>
    <t>Billing Center / Taxes – Tax Code Configuration</t>
  </si>
  <si>
    <t>billing-hub/taxation/tax-code-config.page.ts [NEW]</t>
  </si>
  <si>
    <t>22/07/26</t>
  </si>
  <si>
    <t>TC23</t>
  </si>
  <si>
    <t>Billing Center – Usage</t>
  </si>
  <si>
    <t>billing-hub/usage/usage-config.page.ts [NEW]</t>
  </si>
  <si>
    <t>24/07/26</t>
  </si>
  <si>
    <t>TC24</t>
  </si>
  <si>
    <t>Pricing Center – Basic Configurations (Currency)</t>
  </si>
  <si>
    <t>pricing-hub/base-configurations/resources/currency.page.ts [NEW]</t>
  </si>
  <si>
    <t>27/07/26</t>
  </si>
  <si>
    <t>TC25</t>
  </si>
  <si>
    <t>Pricing Center – Price Management (Product Family)</t>
  </si>
  <si>
    <t>pricing-hub/pricing-management/pricing-catalog/product-family.page.ts [NEW]</t>
  </si>
  <si>
    <t>28/07/26</t>
  </si>
  <si>
    <t>TC26</t>
  </si>
  <si>
    <t>Pricing Center – Package Management</t>
  </si>
  <si>
    <t>pricing-hub/bundle-management/package.page.ts [NEW]</t>
  </si>
  <si>
    <t>29/07/26</t>
  </si>
  <si>
    <t>TC27</t>
  </si>
  <si>
    <t>Payment History Inquiry in A/R Center</t>
  </si>
  <si>
    <t>ar-hub/payments/payment-operations/payment-history.page.ts [NEW]</t>
  </si>
  <si>
    <t>30/07/26</t>
  </si>
  <si>
    <t>TC28</t>
  </si>
  <si>
    <t>View Invoice Units in Collections</t>
  </si>
  <si>
    <t>03/08/26</t>
  </si>
  <si>
    <t>TC29</t>
  </si>
  <si>
    <t>A/R Center Flow Validation</t>
  </si>
  <si>
    <t>ar-hub/ar-operations/ar-operations/adjustment.page.ts [NEW], ar-hub/ar-operations/ar-operations/disputes.page.ts [NEW], ar-hub/ar-operations/ar-operations/write-offs.page.ts [NEW]</t>
  </si>
  <si>
    <t>04/08/26</t>
  </si>
  <si>
    <t>TC30</t>
  </si>
  <si>
    <t>Revenue Center / Configuration</t>
  </si>
  <si>
    <t>revenue-hub/configuration/multi-org-setup/locations.page.ts [NEW], revenue-hub/configuration/base-configurations/gl-setup.page.ts [NEW]</t>
  </si>
  <si>
    <t>05/08/26</t>
  </si>
  <si>
    <t>TC31</t>
  </si>
  <si>
    <t>Revenue Center / Revenues</t>
  </si>
  <si>
    <t>revenue-hub/revenue/journals.page.ts [NEW], revenue-hub/revenue/accounting-log.page.ts [NEW]</t>
  </si>
  <si>
    <t>07/08/26</t>
  </si>
  <si>
    <t>TC32</t>
  </si>
  <si>
    <t>Operations Center / User Management – Successful Creation and Modification</t>
  </si>
  <si>
    <t>operations-hub/user-management/users.page.ts [NEW], customer-hub/customer-management/account-details/account-data/contact.page.ts [NEW], customer-hub/customer-management/account-details/account-data/addresses.page.ts [NEW]</t>
  </si>
  <si>
    <t>11/08/26</t>
  </si>
  <si>
    <t>TC33</t>
  </si>
  <si>
    <t>Operations Center / Work Management – Work Calendar Information Validation</t>
  </si>
  <si>
    <t>12/08/26</t>
  </si>
  <si>
    <t>TC34</t>
  </si>
  <si>
    <t>Operations Center / Correspondence – Template Configuration and Download Validation</t>
  </si>
  <si>
    <t>operations-hub/correspondence/templates.page.ts [NEW]</t>
  </si>
  <si>
    <t>13/08/26</t>
  </si>
  <si>
    <t>TC35</t>
  </si>
  <si>
    <t>Operations Center / Reports – Accounts Report Validation</t>
  </si>
  <si>
    <t>operations-hub/reports/reports.page.ts [NEW]</t>
  </si>
  <si>
    <t>14/08/26</t>
  </si>
  <si>
    <t>TC36</t>
  </si>
  <si>
    <t>Operations Center / Instance Management – Successful Modification</t>
  </si>
  <si>
    <t>operations-hub/tenant-management/tenant-data.page.ts [NEW]</t>
  </si>
  <si>
    <t>17/08/26</t>
  </si>
  <si>
    <t>TC37</t>
  </si>
  <si>
    <t>Operations Center / Task Administration – Successful Task Creation</t>
  </si>
  <si>
    <t>operations-hub/task-management/tasks.page.ts [NEW]</t>
  </si>
  <si>
    <t>19/08/26</t>
  </si>
  <si>
    <t>TC38</t>
  </si>
  <si>
    <t>Account Data / Account Information – Customer Segment Modification</t>
  </si>
  <si>
    <t>customer-hub/customer-management/account-details/account-data/account-info.page.ts</t>
  </si>
  <si>
    <t>TC39</t>
  </si>
  <si>
    <t>Account Data / Contact – Contact Modification and Creation</t>
  </si>
  <si>
    <t>customer-hub/customer-management/account-details/account-data/contact.page.ts [NEW]</t>
  </si>
  <si>
    <t>20/08/26</t>
  </si>
  <si>
    <t>TC40</t>
  </si>
  <si>
    <t>Account Data / Addresses – Address Creation and Modification</t>
  </si>
  <si>
    <t>customer-hub/customer-management/account-details/account-data/addresses.page.ts [NEW]</t>
  </si>
  <si>
    <t>21/08/26</t>
  </si>
  <si>
    <t>TC41</t>
  </si>
  <si>
    <t>Account Data / Payment Profile – Payment Method Modification</t>
  </si>
  <si>
    <t>customer-hub/customer-management/account-details/account-data/payment-profile.page.ts [NEW]</t>
  </si>
  <si>
    <t>25/08/26</t>
  </si>
  <si>
    <t>TC42</t>
  </si>
  <si>
    <t>Account Data / Billing Profile – Annual Billing Modification</t>
  </si>
  <si>
    <t>customer-hub/customer-management/account-details/account-data/billing-profile.page.ts [NEW]</t>
  </si>
  <si>
    <t>26/08/26</t>
  </si>
  <si>
    <t>TC43</t>
  </si>
  <si>
    <t>Account Data / Custom Attributes &amp; Tax Exemptions – Configuration and Modification</t>
  </si>
  <si>
    <t>customer-hub/customer-management/account-details/account-data/custom-attributes.page.ts [NEW]</t>
  </si>
  <si>
    <t>27/08/26</t>
  </si>
  <si>
    <t>TC44</t>
  </si>
  <si>
    <t>Account Data / Hierarchy – Move Account to Parent Hierarchy</t>
  </si>
  <si>
    <t>customer-hub/customer-management/account-details/account-data/payment-profile.page.ts [NEW], customer-hub/customer-management/account-details/account-data/hierarchy.page.ts [NEW]</t>
  </si>
  <si>
    <t>31/08/26</t>
  </si>
  <si>
    <t>TC45</t>
  </si>
  <si>
    <t>01/09/26</t>
  </si>
  <si>
    <t>TC46</t>
  </si>
  <si>
    <t>Account Data / Exchange Rates – External Purchase Order Configuration</t>
  </si>
  <si>
    <t>customer-hub/customer-management/account-details/account-data/xchange-rates.page.ts [NEW]</t>
  </si>
  <si>
    <t>02/09/26</t>
  </si>
  <si>
    <t>TC47</t>
  </si>
  <si>
    <t>Subscription Data / Subscription View – Active Subscription Detail</t>
  </si>
  <si>
    <t>03/09/26</t>
  </si>
  <si>
    <t>TC48</t>
  </si>
  <si>
    <t>Subscription Data / Services – Service Creation and Order Approval</t>
  </si>
  <si>
    <t>TC49</t>
  </si>
  <si>
    <t>04/09/26</t>
  </si>
  <si>
    <t>TC50</t>
  </si>
  <si>
    <t>Subscription Data / Billable Services – Filter and Export</t>
  </si>
  <si>
    <t>TC51</t>
  </si>
  <si>
    <t>Subscription Data / Provisioning Inquiry – View Provisioning Data</t>
  </si>
  <si>
    <t>07/09/26</t>
  </si>
  <si>
    <t>TC52</t>
  </si>
  <si>
    <t>Subscription Data / Attributes – View Provisioned Asset Attributes</t>
  </si>
  <si>
    <t>TC53</t>
  </si>
  <si>
    <t>Billing Data / Subscription Balance Inquiry – View Subscription Balances</t>
  </si>
  <si>
    <t>customer-hub/customer-management/account-details/billing-data/bills.page.ts, customer-hub/customer-management/account-details/billing-data/balances.page.ts [NEW]</t>
  </si>
  <si>
    <t>08/09/26</t>
  </si>
  <si>
    <t>TC54</t>
  </si>
  <si>
    <t>Billing Data / Invoice Management – View and Manage Invoices</t>
  </si>
  <si>
    <t>customer-hub/customer-management/account-details/billing-data/bills.page.ts, customer-hub/customer-management/account-details/billing-data/invoice-payment-installment.page.ts [NEW]</t>
  </si>
  <si>
    <t>09/09/26</t>
  </si>
  <si>
    <t>TC55</t>
  </si>
  <si>
    <t>Billing Data / Waybill Management – Inquiry and Transfer</t>
  </si>
  <si>
    <t>customer-hub/customer-management/account-details/billing-data/bills.page.ts, customer-hub/customer-management/account-details/billing-data/lading-bill.page.ts [NEW]</t>
  </si>
  <si>
    <t>10/09/26</t>
  </si>
  <si>
    <t>TC56</t>
  </si>
  <si>
    <t>Billing Data / Transactions – View Transaction Detail and Recurring Data</t>
  </si>
  <si>
    <t>customer-hub/customer-management/account-details/billing-data/bills.page.ts, customer-hub/customer-management/account-details/billing-data/transactions.page.ts [NEW]</t>
  </si>
  <si>
    <t>11/09/26</t>
  </si>
  <si>
    <t>TC57</t>
  </si>
  <si>
    <t>Billing Data / Rated Usage Inquiry – Filter Rated Usage Transactions</t>
  </si>
  <si>
    <t>billing-hub/usage/usage-ops.page.ts [NEW], customer-hub/customer-management/account-details/billing-data/bills.page.ts, customer-hub/customer-management/account-details/billing-data/rated-usage.page.ts [NEW]</t>
  </si>
  <si>
    <t>15/09/26</t>
  </si>
  <si>
    <t>TC58</t>
  </si>
  <si>
    <t>Billing Data / Usage Records – Filter and Export Usage Data</t>
  </si>
  <si>
    <t>customer-hub/customer-management/account-details/billing-data/bills.page.ts, customer-hub/customer-management/account-details/billing-data/usage-records.page.ts [NEW]</t>
  </si>
  <si>
    <t>16/09/26</t>
  </si>
  <si>
    <t>TC59</t>
  </si>
  <si>
    <t>Subscription &amp; Billing Data / AR Request Log – Filter AR Requests</t>
  </si>
  <si>
    <t>ar-hub/ar-operations/ar-operations/adjustment.page.ts [NEW], customer-hub/customer-management/account-details/billing-data/bills.page.ts, customer-hub/customer-management/account-details/billing-data/ar-request-log.page.ts [NEW], customer-hub/customer-management/account-details/subscription-data/services.page.ts</t>
  </si>
  <si>
    <t>17/09/26</t>
  </si>
  <si>
    <t>TC60</t>
  </si>
  <si>
    <t>Billing Data / AR Operation Units – Filter by Item ID</t>
  </si>
  <si>
    <t>ar-hub/ar-operations/ar-operations/adjustment.page.ts [NEW], customer-hub/customer-management/account-details/billing-data/bills.page.ts, customer-hub/customer-management/account-details/billing-data/ar-ops-units.page.ts [NEW]</t>
  </si>
  <si>
    <t>21/09/26</t>
  </si>
  <si>
    <t>TC61</t>
  </si>
  <si>
    <t>Billing Data / Payments – Filter Payments by Date, Status, Reference and Invoice</t>
  </si>
  <si>
    <t>customer-hub/customer-management/account-details/billing-data/bills.page.ts, customer-hub/customer-management/account-details/billing-data/payments.page.ts [NEW]</t>
  </si>
  <si>
    <t>22/09/26</t>
  </si>
  <si>
    <t>TC62</t>
  </si>
  <si>
    <t>Billing Data / Invoice Payment Due Dates – Filter Payments by Due Date and Invoice</t>
  </si>
  <si>
    <t>23/09/26</t>
  </si>
  <si>
    <t>TC63</t>
  </si>
  <si>
    <t>Billing Data / Credit and Debit Notes – Filter by Date Range and Note Type</t>
  </si>
  <si>
    <t>customer-hub/customer-management/account-details/billing-data/bills.page.ts, customer-hub/customer-management/account-details/billing-data/credit-debit-notes.page.ts [NEW]</t>
  </si>
  <si>
    <t>24/09/26</t>
  </si>
  <si>
    <t>TC64</t>
  </si>
  <si>
    <t>Billing Data / Account Statement – Filter, Export and View Notes</t>
  </si>
  <si>
    <t>customer-hub/customer-management/account-details/billing-data/bills.page.ts, customer-hub/customer-management/account-details/billing-data/account-statement.page.ts [NEW]</t>
  </si>
  <si>
    <t>25/09/26</t>
  </si>
  <si>
    <t>TC65</t>
  </si>
  <si>
    <t>Billing Data / Shared Charge Configuration – Create New Shared Charge</t>
  </si>
  <si>
    <t>0 Done / 48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</si>
</sst>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sz val="12"/>
      <name val="Calibri"/>
    </font>
    <font>
      <b/>
      <color rgb="FF1F4E79"/>
      <sz val="12"/>
      <name val="Calibri"/>
    </font>
    <font>
      <b/>
      <color rgb="FFFFFFFF"/>
      <sz val="11"/>
      <name val="Calibri"/>
    </font>
    <font>
      <sz val="11"/>
      <name val="Calibri"/>
    </font>
    <font>
      <b/>
      <color rgb="FF1F4E79"/>
      <sz val="11"/>
      <name val="Calibri"/>
    </font>
    <font>
      <b/>
      <sz val="10"/>
      <name val="Calibri"/>
    </font>
    <font>
      <b/>
      <color rgb="FFC0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2" fontId="5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I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5" customWidth="1"/>
    <col min="3" max="3" width="10" customWidth="1"/>
    <col min="4" max="4" width="8" customWidth="1"/>
    <col min="5" max="5" width="90" customWidth="1"/>
    <col min="6" max="6" width="16" customWidth="1"/>
    <col min="7" max="7" width="20" customWidth="1"/>
    <col min="8" max="8" width="12" customWidth="1"/>
    <col min="9" max="9" width="16" customWidth="1"/>
  </cols>
  <sheetData>
    <row r="1" spans="1:3" x14ac:dyDescent="0.25">
      <c r="A1" s="1" t="s">
        <v>0</v>
      </c>
      <c r="B1" s="1"/>
      <c r="C1" s="2" t="s">
        <v>1</v>
      </c>
    </row>
    <row r="2" ht="6" customHeight="1" x14ac:dyDescent="0.25"/>
    <row r="3" ht="30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cIdx =&gt; row[4].length &gt; 80 ? 45 : 22" customHeight="1" spans="1:9" x14ac:dyDescent="0.25">
      <c r="A4" s="4" t="s">
        <v>11</v>
      </c>
      <c r="B4" s="5" t="s">
        <v>12</v>
      </c>
      <c r="C4" s="4" t="s">
        <v>13</v>
      </c>
      <c r="D4" s="4">
        <v>1</v>
      </c>
      <c r="E4" s="5" t="s">
        <v>14</v>
      </c>
      <c r="F4" s="4" t="s">
        <v>15</v>
      </c>
      <c r="G4" s="4">
        <v>0</v>
      </c>
      <c r="H4" s="4">
        <v>0</v>
      </c>
      <c r="I4" s="4" t="s">
        <v>16</v>
      </c>
    </row>
    <row r="5" ht="cIdx =&gt; row[4].length &gt; 80 ? 45 : 22" customHeight="1" spans="1:9" x14ac:dyDescent="0.25">
      <c r="A5" s="4" t="s">
        <v>17</v>
      </c>
      <c r="B5" s="5" t="s">
        <v>18</v>
      </c>
      <c r="C5" s="4" t="s">
        <v>13</v>
      </c>
      <c r="D5" s="4">
        <v>1</v>
      </c>
      <c r="E5" s="5" t="s">
        <v>14</v>
      </c>
      <c r="F5" s="4" t="s">
        <v>15</v>
      </c>
      <c r="G5" s="4">
        <v>0</v>
      </c>
      <c r="H5" s="4">
        <v>0</v>
      </c>
      <c r="I5" s="4" t="s">
        <v>16</v>
      </c>
    </row>
    <row r="6" ht="cIdx =&gt; row[4].length &gt; 80 ? 45 : 22" customHeight="1" spans="1:9" x14ac:dyDescent="0.25">
      <c r="A6" s="4" t="s">
        <v>19</v>
      </c>
      <c r="B6" s="5" t="s">
        <v>20</v>
      </c>
      <c r="C6" s="4" t="s">
        <v>13</v>
      </c>
      <c r="D6" s="4">
        <v>12</v>
      </c>
      <c r="E6" s="5" t="s">
        <v>21</v>
      </c>
      <c r="F6" s="4" t="s">
        <v>15</v>
      </c>
      <c r="G6" s="4">
        <v>0</v>
      </c>
      <c r="H6" s="4">
        <v>0</v>
      </c>
      <c r="I6" s="4" t="s">
        <v>16</v>
      </c>
    </row>
    <row r="7" ht="cIdx =&gt; row[4].length &gt; 80 ? 45 : 22" customHeight="1" spans="1:9" x14ac:dyDescent="0.25">
      <c r="A7" s="6" t="s">
        <v>22</v>
      </c>
      <c r="B7" s="7" t="s">
        <v>23</v>
      </c>
      <c r="C7" s="6" t="s">
        <v>13</v>
      </c>
      <c r="D7" s="6">
        <v>3</v>
      </c>
      <c r="E7" s="7" t="s">
        <v>24</v>
      </c>
      <c r="F7" s="6" t="s">
        <v>25</v>
      </c>
      <c r="G7" s="6">
        <v>6</v>
      </c>
      <c r="H7" s="6">
        <v>0.75</v>
      </c>
      <c r="I7" s="6" t="s">
        <v>26</v>
      </c>
    </row>
    <row r="8" ht="cIdx =&gt; row[4].length &gt; 80 ? 45 : 22" customHeight="1" spans="1:9" x14ac:dyDescent="0.25">
      <c r="A8" s="6" t="s">
        <v>27</v>
      </c>
      <c r="B8" s="7" t="s">
        <v>28</v>
      </c>
      <c r="C8" s="6" t="s">
        <v>13</v>
      </c>
      <c r="D8" s="6">
        <v>3</v>
      </c>
      <c r="E8" s="7" t="s">
        <v>24</v>
      </c>
      <c r="F8" s="6" t="s">
        <v>25</v>
      </c>
      <c r="G8" s="6">
        <v>6</v>
      </c>
      <c r="H8" s="6">
        <v>0.75</v>
      </c>
      <c r="I8" s="6" t="s">
        <v>29</v>
      </c>
    </row>
    <row r="9" ht="cIdx =&gt; row[4].length &gt; 80 ? 45 : 22" customHeight="1" spans="1:9" x14ac:dyDescent="0.25">
      <c r="A9" s="6" t="s">
        <v>30</v>
      </c>
      <c r="B9" s="7" t="s">
        <v>31</v>
      </c>
      <c r="C9" s="6" t="s">
        <v>13</v>
      </c>
      <c r="D9" s="6">
        <v>3</v>
      </c>
      <c r="E9" s="7" t="s">
        <v>24</v>
      </c>
      <c r="F9" s="6" t="s">
        <v>25</v>
      </c>
      <c r="G9" s="6">
        <v>6</v>
      </c>
      <c r="H9" s="6">
        <v>0.75</v>
      </c>
      <c r="I9" s="6" t="s">
        <v>32</v>
      </c>
    </row>
    <row r="10" ht="cIdx =&gt; row[4].length &gt; 80 ? 45 : 22" customHeight="1" spans="1:9" x14ac:dyDescent="0.25">
      <c r="A10" s="6" t="s">
        <v>33</v>
      </c>
      <c r="B10" s="7" t="s">
        <v>34</v>
      </c>
      <c r="C10" s="6" t="s">
        <v>13</v>
      </c>
      <c r="D10" s="6">
        <v>6</v>
      </c>
      <c r="E10" s="7" t="s">
        <v>35</v>
      </c>
      <c r="F10" s="6" t="s">
        <v>25</v>
      </c>
      <c r="G10" s="6">
        <v>13.5</v>
      </c>
      <c r="H10" s="6">
        <v>1.69</v>
      </c>
      <c r="I10" s="6" t="s">
        <v>36</v>
      </c>
    </row>
    <row r="11" ht="cIdx =&gt; row[4].length &gt; 80 ? 45 : 22" customHeight="1" spans="1:9" x14ac:dyDescent="0.25">
      <c r="A11" s="6" t="s">
        <v>37</v>
      </c>
      <c r="B11" s="7" t="s">
        <v>38</v>
      </c>
      <c r="C11" s="6" t="s">
        <v>13</v>
      </c>
      <c r="D11" s="6">
        <v>20</v>
      </c>
      <c r="E11" s="7" t="s">
        <v>39</v>
      </c>
      <c r="F11" s="6" t="s">
        <v>25</v>
      </c>
      <c r="G11" s="6">
        <v>24.5</v>
      </c>
      <c r="H11" s="6">
        <v>3.06</v>
      </c>
      <c r="I11" s="6" t="s">
        <v>40</v>
      </c>
    </row>
    <row r="12" ht="cIdx =&gt; row[4].length &gt; 80 ? 45 : 22" customHeight="1" spans="1:9" x14ac:dyDescent="0.25">
      <c r="A12" s="6" t="s">
        <v>41</v>
      </c>
      <c r="B12" s="7" t="s">
        <v>42</v>
      </c>
      <c r="C12" s="6" t="s">
        <v>13</v>
      </c>
      <c r="D12" s="6">
        <v>13</v>
      </c>
      <c r="E12" s="7" t="s">
        <v>43</v>
      </c>
      <c r="F12" s="6" t="s">
        <v>25</v>
      </c>
      <c r="G12" s="6">
        <v>11</v>
      </c>
      <c r="H12" s="6">
        <v>1.38</v>
      </c>
      <c r="I12" s="6" t="s">
        <v>44</v>
      </c>
    </row>
    <row r="13" ht="cIdx =&gt; row[4].length &gt; 80 ? 45 : 22" customHeight="1" spans="1:9" x14ac:dyDescent="0.25">
      <c r="A13" s="6" t="s">
        <v>45</v>
      </c>
      <c r="B13" s="7" t="s">
        <v>46</v>
      </c>
      <c r="C13" s="6" t="s">
        <v>47</v>
      </c>
      <c r="D13" s="6">
        <v>12</v>
      </c>
      <c r="E13" s="7" t="s">
        <v>43</v>
      </c>
      <c r="F13" s="6" t="s">
        <v>25</v>
      </c>
      <c r="G13" s="6">
        <v>12.5</v>
      </c>
      <c r="H13" s="6">
        <v>1.56</v>
      </c>
      <c r="I13" s="6" t="s">
        <v>48</v>
      </c>
    </row>
    <row r="14" ht="cIdx =&gt; row[4].length &gt; 80 ? 45 : 22" customHeight="1" spans="1:9" x14ac:dyDescent="0.25">
      <c r="A14" s="6" t="s">
        <v>49</v>
      </c>
      <c r="B14" s="7" t="s">
        <v>46</v>
      </c>
      <c r="C14" s="6" t="s">
        <v>50</v>
      </c>
      <c r="D14" s="6">
        <v>6</v>
      </c>
      <c r="E14" s="7" t="s">
        <v>51</v>
      </c>
      <c r="F14" s="6" t="s">
        <v>25</v>
      </c>
      <c r="G14" s="6">
        <v>13.5</v>
      </c>
      <c r="H14" s="6">
        <v>1.69</v>
      </c>
      <c r="I14" s="6" t="s">
        <v>52</v>
      </c>
    </row>
    <row r="15" ht="cIdx =&gt; row[4].length &gt; 80 ? 45 : 22" customHeight="1" spans="1:9" x14ac:dyDescent="0.25">
      <c r="A15" s="6" t="s">
        <v>53</v>
      </c>
      <c r="B15" s="7" t="s">
        <v>54</v>
      </c>
      <c r="C15" s="6" t="s">
        <v>50</v>
      </c>
      <c r="D15" s="6">
        <v>9</v>
      </c>
      <c r="E15" s="7" t="s">
        <v>55</v>
      </c>
      <c r="F15" s="6" t="s">
        <v>25</v>
      </c>
      <c r="G15" s="6">
        <v>15</v>
      </c>
      <c r="H15" s="6">
        <v>1.88</v>
      </c>
      <c r="I15" s="6" t="s">
        <v>56</v>
      </c>
    </row>
    <row r="16" ht="cIdx =&gt; row[4].length &gt; 80 ? 45 : 22" customHeight="1" spans="1:9" x14ac:dyDescent="0.25">
      <c r="A16" s="6" t="s">
        <v>57</v>
      </c>
      <c r="B16" s="7" t="s">
        <v>58</v>
      </c>
      <c r="C16" s="6" t="s">
        <v>47</v>
      </c>
      <c r="D16" s="6">
        <v>9</v>
      </c>
      <c r="E16" s="7" t="s">
        <v>55</v>
      </c>
      <c r="F16" s="6" t="s">
        <v>25</v>
      </c>
      <c r="G16" s="6">
        <v>15</v>
      </c>
      <c r="H16" s="6">
        <v>1.88</v>
      </c>
      <c r="I16" s="6" t="s">
        <v>59</v>
      </c>
    </row>
    <row r="17" ht="cIdx =&gt; row[4].length &gt; 80 ? 45 : 22" customHeight="1" spans="1:9" x14ac:dyDescent="0.25">
      <c r="A17" s="6" t="s">
        <v>60</v>
      </c>
      <c r="B17" s="7" t="s">
        <v>61</v>
      </c>
      <c r="C17" s="6" t="s">
        <v>50</v>
      </c>
      <c r="D17" s="6">
        <v>14</v>
      </c>
      <c r="E17" s="7" t="s">
        <v>43</v>
      </c>
      <c r="F17" s="6" t="s">
        <v>25</v>
      </c>
      <c r="G17" s="6">
        <v>13.5</v>
      </c>
      <c r="H17" s="6">
        <v>1.69</v>
      </c>
      <c r="I17" s="6" t="s">
        <v>62</v>
      </c>
    </row>
    <row r="18" ht="cIdx =&gt; row[4].length &gt; 80 ? 45 : 22" customHeight="1" spans="1:9" x14ac:dyDescent="0.25">
      <c r="A18" s="6" t="s">
        <v>63</v>
      </c>
      <c r="B18" s="7" t="s">
        <v>64</v>
      </c>
      <c r="C18" s="6" t="s">
        <v>50</v>
      </c>
      <c r="D18" s="6">
        <v>15</v>
      </c>
      <c r="E18" s="7" t="s">
        <v>14</v>
      </c>
      <c r="F18" s="6" t="s">
        <v>25</v>
      </c>
      <c r="G18" s="6">
        <v>10</v>
      </c>
      <c r="H18" s="6">
        <v>1.25</v>
      </c>
      <c r="I18" s="6" t="s">
        <v>65</v>
      </c>
    </row>
    <row r="19" ht="cIdx =&gt; row[4].length &gt; 80 ? 45 : 22" customHeight="1" spans="1:9" x14ac:dyDescent="0.25">
      <c r="A19" s="6" t="s">
        <v>66</v>
      </c>
      <c r="B19" s="7" t="s">
        <v>67</v>
      </c>
      <c r="C19" s="6" t="s">
        <v>47</v>
      </c>
      <c r="D19" s="6">
        <v>12</v>
      </c>
      <c r="E19" s="7" t="s">
        <v>68</v>
      </c>
      <c r="F19" s="6" t="s">
        <v>25</v>
      </c>
      <c r="G19" s="6">
        <v>16.5</v>
      </c>
      <c r="H19" s="6">
        <v>2.06</v>
      </c>
      <c r="I19" s="6" t="s">
        <v>69</v>
      </c>
    </row>
    <row r="20" ht="cIdx =&gt; row[4].length &gt; 80 ? 45 : 22" customHeight="1" spans="1:9" x14ac:dyDescent="0.25">
      <c r="A20" s="6" t="s">
        <v>70</v>
      </c>
      <c r="B20" s="7" t="s">
        <v>71</v>
      </c>
      <c r="C20" s="6" t="s">
        <v>47</v>
      </c>
      <c r="D20" s="6">
        <v>11</v>
      </c>
      <c r="E20" s="7" t="s">
        <v>14</v>
      </c>
      <c r="F20" s="6" t="s">
        <v>25</v>
      </c>
      <c r="G20" s="6">
        <v>8</v>
      </c>
      <c r="H20" s="6">
        <v>1</v>
      </c>
      <c r="I20" s="6" t="s">
        <v>72</v>
      </c>
    </row>
    <row r="21" ht="cIdx =&gt; row[4].length &gt; 80 ? 45 : 22" customHeight="1" spans="1:9" x14ac:dyDescent="0.25">
      <c r="A21" s="6" t="s">
        <v>73</v>
      </c>
      <c r="B21" s="7" t="s">
        <v>74</v>
      </c>
      <c r="C21" s="6" t="s">
        <v>13</v>
      </c>
      <c r="D21" s="6">
        <v>7</v>
      </c>
      <c r="E21" s="7" t="s">
        <v>75</v>
      </c>
      <c r="F21" s="6" t="s">
        <v>25</v>
      </c>
      <c r="G21" s="6">
        <v>4</v>
      </c>
      <c r="H21" s="6">
        <v>0.5</v>
      </c>
      <c r="I21" s="6" t="s">
        <v>72</v>
      </c>
    </row>
    <row r="22" ht="cIdx =&gt; row[4].length &gt; 80 ? 45 : 22" customHeight="1" spans="1:9" x14ac:dyDescent="0.25">
      <c r="A22" s="6" t="s">
        <v>76</v>
      </c>
      <c r="B22" s="7" t="s">
        <v>77</v>
      </c>
      <c r="C22" s="6" t="s">
        <v>13</v>
      </c>
      <c r="D22" s="6">
        <v>6</v>
      </c>
      <c r="E22" s="7" t="s">
        <v>14</v>
      </c>
      <c r="F22" s="6" t="s">
        <v>25</v>
      </c>
      <c r="G22" s="6">
        <v>3.5</v>
      </c>
      <c r="H22" s="6">
        <v>0.44</v>
      </c>
      <c r="I22" s="6" t="s">
        <v>78</v>
      </c>
    </row>
    <row r="24" spans="1:9" x14ac:dyDescent="0.25">
      <c r="A24" s="8" t="s">
        <v>79</v>
      </c>
      <c r="B24" s="8"/>
      <c r="C24" s="8"/>
      <c r="D24" s="8"/>
      <c r="E24" s="8"/>
      <c r="F24" s="9" t="s">
        <v>80</v>
      </c>
      <c r="G24" s="10">
        <f>SUM(G4:G22)</f>
      </c>
      <c r="H24" s="11">
        <f>SUM(H4:H22)</f>
      </c>
      <c r="I24" s="12" t="s">
        <v>78</v>
      </c>
    </row>
  </sheetData>
  <autoFilter ref="A3:I22"/>
  <mergeCells count="2">
    <mergeCell ref="A1:B1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I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5" customWidth="1"/>
    <col min="3" max="3" width="10" customWidth="1"/>
    <col min="4" max="4" width="8" customWidth="1"/>
    <col min="5" max="5" width="90" customWidth="1"/>
    <col min="6" max="6" width="16" customWidth="1"/>
    <col min="7" max="7" width="20" customWidth="1"/>
    <col min="8" max="8" width="12" customWidth="1"/>
    <col min="9" max="9" width="16" customWidth="1"/>
  </cols>
  <sheetData>
    <row r="1" spans="1:3" x14ac:dyDescent="0.25">
      <c r="A1" s="1" t="s">
        <v>0</v>
      </c>
      <c r="B1" s="1"/>
      <c r="C1" s="2" t="s">
        <v>78</v>
      </c>
    </row>
    <row r="2" ht="6" customHeight="1" x14ac:dyDescent="0.25"/>
    <row r="3" ht="30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cIdx =&gt; row[4].length &gt; 80 ? 45 : 22" customHeight="1" spans="1:9" x14ac:dyDescent="0.25">
      <c r="A4" s="6" t="s">
        <v>81</v>
      </c>
      <c r="B4" s="7" t="s">
        <v>82</v>
      </c>
      <c r="C4" s="6" t="s">
        <v>13</v>
      </c>
      <c r="D4" s="6">
        <v>34</v>
      </c>
      <c r="E4" s="7" t="s">
        <v>83</v>
      </c>
      <c r="F4" s="6" t="s">
        <v>25</v>
      </c>
      <c r="G4" s="6">
        <v>17.5</v>
      </c>
      <c r="H4" s="6">
        <v>2.19</v>
      </c>
      <c r="I4" s="6" t="s">
        <v>84</v>
      </c>
    </row>
    <row r="5" ht="cIdx =&gt; row[4].length &gt; 80 ? 45 : 22" customHeight="1" spans="1:9" x14ac:dyDescent="0.25">
      <c r="A5" s="6" t="s">
        <v>85</v>
      </c>
      <c r="B5" s="7" t="s">
        <v>86</v>
      </c>
      <c r="C5" s="6" t="s">
        <v>47</v>
      </c>
      <c r="D5" s="6">
        <v>24</v>
      </c>
      <c r="E5" s="7" t="s">
        <v>87</v>
      </c>
      <c r="F5" s="6" t="s">
        <v>25</v>
      </c>
      <c r="G5" s="6">
        <v>16.5</v>
      </c>
      <c r="H5" s="6">
        <v>2.06</v>
      </c>
      <c r="I5" s="6" t="s">
        <v>88</v>
      </c>
    </row>
    <row r="6" ht="cIdx =&gt; row[4].length &gt; 80 ? 45 : 22" customHeight="1" spans="1:9" x14ac:dyDescent="0.25">
      <c r="A6" s="6" t="s">
        <v>89</v>
      </c>
      <c r="B6" s="7" t="s">
        <v>90</v>
      </c>
      <c r="C6" s="6" t="s">
        <v>13</v>
      </c>
      <c r="D6" s="6">
        <v>12</v>
      </c>
      <c r="E6" s="7" t="s">
        <v>83</v>
      </c>
      <c r="F6" s="6" t="s">
        <v>25</v>
      </c>
      <c r="G6" s="6">
        <v>6.5</v>
      </c>
      <c r="H6" s="6">
        <v>0.81</v>
      </c>
      <c r="I6" s="6" t="s">
        <v>91</v>
      </c>
    </row>
    <row r="7" ht="cIdx =&gt; row[4].length &gt; 80 ? 45 : 22" customHeight="1" spans="1:9" x14ac:dyDescent="0.25">
      <c r="A7" s="6" t="s">
        <v>92</v>
      </c>
      <c r="B7" s="7" t="s">
        <v>93</v>
      </c>
      <c r="C7" s="6" t="s">
        <v>50</v>
      </c>
      <c r="D7" s="6">
        <v>18</v>
      </c>
      <c r="E7" s="7" t="s">
        <v>94</v>
      </c>
      <c r="F7" s="6" t="s">
        <v>25</v>
      </c>
      <c r="G7" s="6">
        <v>17.5</v>
      </c>
      <c r="H7" s="6">
        <v>2.19</v>
      </c>
      <c r="I7" s="6" t="s">
        <v>95</v>
      </c>
    </row>
    <row r="8" ht="cIdx =&gt; row[4].length &gt; 80 ? 45 : 22" customHeight="1" spans="1:9" x14ac:dyDescent="0.25">
      <c r="A8" s="6" t="s">
        <v>96</v>
      </c>
      <c r="B8" s="7" t="s">
        <v>97</v>
      </c>
      <c r="C8" s="6" t="s">
        <v>47</v>
      </c>
      <c r="D8" s="6">
        <v>24</v>
      </c>
      <c r="E8" s="7" t="s">
        <v>98</v>
      </c>
      <c r="F8" s="6" t="s">
        <v>25</v>
      </c>
      <c r="G8" s="6">
        <v>16.5</v>
      </c>
      <c r="H8" s="6">
        <v>2.06</v>
      </c>
      <c r="I8" s="6" t="s">
        <v>99</v>
      </c>
    </row>
    <row r="9" ht="cIdx =&gt; row[4].length &gt; 80 ? 45 : 22" customHeight="1" spans="1:9" x14ac:dyDescent="0.25">
      <c r="A9" s="6" t="s">
        <v>100</v>
      </c>
      <c r="B9" s="7" t="s">
        <v>101</v>
      </c>
      <c r="C9" s="6" t="s">
        <v>47</v>
      </c>
      <c r="D9" s="6">
        <v>19</v>
      </c>
      <c r="E9" s="7" t="s">
        <v>102</v>
      </c>
      <c r="F9" s="6" t="s">
        <v>25</v>
      </c>
      <c r="G9" s="6">
        <v>14</v>
      </c>
      <c r="H9" s="6">
        <v>1.75</v>
      </c>
      <c r="I9" s="6" t="s">
        <v>103</v>
      </c>
    </row>
    <row r="10" ht="cIdx =&gt; row[4].length &gt; 80 ? 45 : 22" customHeight="1" spans="1:9" x14ac:dyDescent="0.25">
      <c r="A10" s="6" t="s">
        <v>104</v>
      </c>
      <c r="B10" s="7" t="s">
        <v>105</v>
      </c>
      <c r="C10" s="6" t="s">
        <v>13</v>
      </c>
      <c r="D10" s="6">
        <v>12</v>
      </c>
      <c r="E10" s="7" t="s">
        <v>106</v>
      </c>
      <c r="F10" s="6" t="s">
        <v>25</v>
      </c>
      <c r="G10" s="6">
        <v>10.5</v>
      </c>
      <c r="H10" s="6">
        <v>1.31</v>
      </c>
      <c r="I10" s="6" t="s">
        <v>107</v>
      </c>
    </row>
    <row r="11" ht="cIdx =&gt; row[4].length &gt; 80 ? 45 : 22" customHeight="1" spans="1:9" x14ac:dyDescent="0.25">
      <c r="A11" s="6" t="s">
        <v>108</v>
      </c>
      <c r="B11" s="7" t="s">
        <v>109</v>
      </c>
      <c r="C11" s="6" t="s">
        <v>47</v>
      </c>
      <c r="D11" s="6">
        <v>11</v>
      </c>
      <c r="E11" s="7" t="s">
        <v>110</v>
      </c>
      <c r="F11" s="6" t="s">
        <v>25</v>
      </c>
      <c r="G11" s="6">
        <v>10</v>
      </c>
      <c r="H11" s="6">
        <v>1.25</v>
      </c>
      <c r="I11" s="6" t="s">
        <v>111</v>
      </c>
    </row>
    <row r="12" ht="cIdx =&gt; row[4].length &gt; 80 ? 45 : 22" customHeight="1" spans="1:9" x14ac:dyDescent="0.25">
      <c r="A12" s="6" t="s">
        <v>112</v>
      </c>
      <c r="B12" s="7" t="s">
        <v>113</v>
      </c>
      <c r="C12" s="6" t="s">
        <v>13</v>
      </c>
      <c r="D12" s="6">
        <v>4</v>
      </c>
      <c r="E12" s="7" t="s">
        <v>114</v>
      </c>
      <c r="F12" s="6" t="s">
        <v>25</v>
      </c>
      <c r="G12" s="6">
        <v>6.5</v>
      </c>
      <c r="H12" s="6">
        <v>0.81</v>
      </c>
      <c r="I12" s="6" t="s">
        <v>115</v>
      </c>
    </row>
    <row r="13" ht="cIdx =&gt; row[4].length &gt; 80 ? 45 : 22" customHeight="1" spans="1:9" x14ac:dyDescent="0.25">
      <c r="A13" s="6" t="s">
        <v>116</v>
      </c>
      <c r="B13" s="7" t="s">
        <v>117</v>
      </c>
      <c r="C13" s="6" t="s">
        <v>47</v>
      </c>
      <c r="D13" s="6">
        <v>12</v>
      </c>
      <c r="E13" s="7" t="s">
        <v>118</v>
      </c>
      <c r="F13" s="6" t="s">
        <v>25</v>
      </c>
      <c r="G13" s="6">
        <v>10.5</v>
      </c>
      <c r="H13" s="6">
        <v>1.31</v>
      </c>
      <c r="I13" s="6" t="s">
        <v>119</v>
      </c>
    </row>
    <row r="14" ht="cIdx =&gt; row[4].length &gt; 80 ? 45 : 22" customHeight="1" spans="1:9" x14ac:dyDescent="0.25">
      <c r="A14" s="6" t="s">
        <v>120</v>
      </c>
      <c r="B14" s="7" t="s">
        <v>121</v>
      </c>
      <c r="C14" s="6" t="s">
        <v>13</v>
      </c>
      <c r="D14" s="6">
        <v>12</v>
      </c>
      <c r="E14" s="7" t="s">
        <v>43</v>
      </c>
      <c r="F14" s="6" t="s">
        <v>25</v>
      </c>
      <c r="G14" s="6">
        <v>10.5</v>
      </c>
      <c r="H14" s="6">
        <v>1.31</v>
      </c>
      <c r="I14" s="6" t="s">
        <v>122</v>
      </c>
    </row>
    <row r="15" ht="cIdx =&gt; row[4].length &gt; 80 ? 45 : 22" customHeight="1" spans="1:9" x14ac:dyDescent="0.25">
      <c r="A15" s="6" t="s">
        <v>123</v>
      </c>
      <c r="B15" s="7" t="s">
        <v>124</v>
      </c>
      <c r="C15" s="6" t="s">
        <v>47</v>
      </c>
      <c r="D15" s="6">
        <v>22</v>
      </c>
      <c r="E15" s="7" t="s">
        <v>125</v>
      </c>
      <c r="F15" s="6" t="s">
        <v>25</v>
      </c>
      <c r="G15" s="6">
        <v>15.5</v>
      </c>
      <c r="H15" s="6">
        <v>1.94</v>
      </c>
      <c r="I15" s="6" t="s">
        <v>126</v>
      </c>
    </row>
    <row r="16" ht="cIdx =&gt; row[4].length &gt; 80 ? 45 : 22" customHeight="1" spans="1:9" x14ac:dyDescent="0.25">
      <c r="A16" s="6" t="s">
        <v>127</v>
      </c>
      <c r="B16" s="7" t="s">
        <v>128</v>
      </c>
      <c r="C16" s="6" t="s">
        <v>47</v>
      </c>
      <c r="D16" s="6">
        <v>7</v>
      </c>
      <c r="E16" s="7" t="s">
        <v>129</v>
      </c>
      <c r="F16" s="6" t="s">
        <v>25</v>
      </c>
      <c r="G16" s="6">
        <v>8</v>
      </c>
      <c r="H16" s="6">
        <v>1</v>
      </c>
      <c r="I16" s="6" t="s">
        <v>130</v>
      </c>
    </row>
    <row r="17" ht="cIdx =&gt; row[4].length &gt; 80 ? 45 : 22" customHeight="1" spans="1:9" x14ac:dyDescent="0.25">
      <c r="A17" s="6" t="s">
        <v>131</v>
      </c>
      <c r="B17" s="7" t="s">
        <v>132</v>
      </c>
      <c r="C17" s="6" t="s">
        <v>47</v>
      </c>
      <c r="D17" s="6">
        <v>11</v>
      </c>
      <c r="E17" s="7" t="s">
        <v>133</v>
      </c>
      <c r="F17" s="6" t="s">
        <v>25</v>
      </c>
      <c r="G17" s="6">
        <v>10</v>
      </c>
      <c r="H17" s="6">
        <v>1.25</v>
      </c>
      <c r="I17" s="6" t="s">
        <v>134</v>
      </c>
    </row>
    <row r="18" ht="cIdx =&gt; row[4].length &gt; 80 ? 45 : 22" customHeight="1" spans="1:9" x14ac:dyDescent="0.25">
      <c r="A18" s="6" t="s">
        <v>135</v>
      </c>
      <c r="B18" s="7" t="s">
        <v>136</v>
      </c>
      <c r="C18" s="6" t="s">
        <v>13</v>
      </c>
      <c r="D18" s="6">
        <v>13</v>
      </c>
      <c r="E18" s="7" t="s">
        <v>137</v>
      </c>
      <c r="F18" s="6" t="s">
        <v>25</v>
      </c>
      <c r="G18" s="6">
        <v>19</v>
      </c>
      <c r="H18" s="6">
        <v>2.38</v>
      </c>
      <c r="I18" s="6" t="s">
        <v>138</v>
      </c>
    </row>
    <row r="19" ht="cIdx =&gt; row[4].length &gt; 80 ? 45 : 22" customHeight="1" spans="1:9" x14ac:dyDescent="0.25">
      <c r="A19" s="6" t="s">
        <v>139</v>
      </c>
      <c r="B19" s="7" t="s">
        <v>140</v>
      </c>
      <c r="C19" s="6" t="s">
        <v>13</v>
      </c>
      <c r="D19" s="6">
        <v>4</v>
      </c>
      <c r="E19" s="7" t="s">
        <v>24</v>
      </c>
      <c r="F19" s="6" t="s">
        <v>25</v>
      </c>
      <c r="G19" s="6">
        <v>6.5</v>
      </c>
      <c r="H19" s="6">
        <v>0.81</v>
      </c>
      <c r="I19" s="6" t="s">
        <v>141</v>
      </c>
    </row>
    <row r="20" ht="cIdx =&gt; row[4].length &gt; 80 ? 45 : 22" customHeight="1" spans="1:9" x14ac:dyDescent="0.25">
      <c r="A20" s="6" t="s">
        <v>142</v>
      </c>
      <c r="B20" s="7" t="s">
        <v>143</v>
      </c>
      <c r="C20" s="6" t="s">
        <v>50</v>
      </c>
      <c r="D20" s="6">
        <v>6</v>
      </c>
      <c r="E20" s="7" t="s">
        <v>144</v>
      </c>
      <c r="F20" s="6" t="s">
        <v>25</v>
      </c>
      <c r="G20" s="6">
        <v>7.5</v>
      </c>
      <c r="H20" s="6">
        <v>0.94</v>
      </c>
      <c r="I20" s="6" t="s">
        <v>145</v>
      </c>
    </row>
    <row r="21" ht="cIdx =&gt; row[4].length &gt; 80 ? 45 : 22" customHeight="1" spans="1:9" x14ac:dyDescent="0.25">
      <c r="A21" s="6" t="s">
        <v>146</v>
      </c>
      <c r="B21" s="7" t="s">
        <v>147</v>
      </c>
      <c r="C21" s="6" t="s">
        <v>13</v>
      </c>
      <c r="D21" s="6">
        <v>7</v>
      </c>
      <c r="E21" s="7" t="s">
        <v>148</v>
      </c>
      <c r="F21" s="6" t="s">
        <v>25</v>
      </c>
      <c r="G21" s="6">
        <v>8</v>
      </c>
      <c r="H21" s="6">
        <v>1</v>
      </c>
      <c r="I21" s="6" t="s">
        <v>149</v>
      </c>
    </row>
    <row r="22" ht="cIdx =&gt; row[4].length &gt; 80 ? 45 : 22" customHeight="1" spans="1:9" x14ac:dyDescent="0.25">
      <c r="A22" s="6" t="s">
        <v>150</v>
      </c>
      <c r="B22" s="7" t="s">
        <v>151</v>
      </c>
      <c r="C22" s="6" t="s">
        <v>47</v>
      </c>
      <c r="D22" s="6">
        <v>11</v>
      </c>
      <c r="E22" s="7" t="s">
        <v>152</v>
      </c>
      <c r="F22" s="6" t="s">
        <v>25</v>
      </c>
      <c r="G22" s="6">
        <v>12</v>
      </c>
      <c r="H22" s="6">
        <v>1.5</v>
      </c>
      <c r="I22" s="6" t="s">
        <v>153</v>
      </c>
    </row>
    <row r="23" ht="cIdx =&gt; row[4].length &gt; 80 ? 45 : 22" customHeight="1" spans="1:9" x14ac:dyDescent="0.25">
      <c r="A23" s="6" t="s">
        <v>154</v>
      </c>
      <c r="B23" s="7" t="s">
        <v>155</v>
      </c>
      <c r="C23" s="6" t="s">
        <v>47</v>
      </c>
      <c r="D23" s="6">
        <v>11</v>
      </c>
      <c r="E23" s="7" t="s">
        <v>156</v>
      </c>
      <c r="F23" s="6" t="s">
        <v>25</v>
      </c>
      <c r="G23" s="6">
        <v>10</v>
      </c>
      <c r="H23" s="6">
        <v>1.25</v>
      </c>
      <c r="I23" s="6" t="s">
        <v>157</v>
      </c>
    </row>
    <row r="24" ht="cIdx =&gt; row[4].length &gt; 80 ? 45 : 22" customHeight="1" spans="1:9" x14ac:dyDescent="0.25">
      <c r="A24" s="6" t="s">
        <v>158</v>
      </c>
      <c r="B24" s="7" t="s">
        <v>159</v>
      </c>
      <c r="C24" s="6" t="s">
        <v>13</v>
      </c>
      <c r="D24" s="6">
        <v>8</v>
      </c>
      <c r="E24" s="7" t="s">
        <v>160</v>
      </c>
      <c r="F24" s="6" t="s">
        <v>25</v>
      </c>
      <c r="G24" s="6">
        <v>4.5</v>
      </c>
      <c r="H24" s="6">
        <v>0.56</v>
      </c>
      <c r="I24" s="6" t="s">
        <v>157</v>
      </c>
    </row>
    <row r="25" ht="cIdx =&gt; row[4].length &gt; 80 ? 45 : 22" customHeight="1" spans="1:9" x14ac:dyDescent="0.25">
      <c r="A25" s="6" t="s">
        <v>161</v>
      </c>
      <c r="B25" s="7" t="s">
        <v>162</v>
      </c>
      <c r="C25" s="6" t="s">
        <v>13</v>
      </c>
      <c r="D25" s="6">
        <v>8</v>
      </c>
      <c r="E25" s="7" t="s">
        <v>163</v>
      </c>
      <c r="F25" s="6" t="s">
        <v>25</v>
      </c>
      <c r="G25" s="6">
        <v>8.5</v>
      </c>
      <c r="H25" s="6">
        <v>1.06</v>
      </c>
      <c r="I25" s="6" t="s">
        <v>164</v>
      </c>
    </row>
    <row r="26" ht="cIdx =&gt; row[4].length &gt; 80 ? 45 : 22" customHeight="1" spans="1:9" x14ac:dyDescent="0.25">
      <c r="A26" s="6" t="s">
        <v>165</v>
      </c>
      <c r="B26" s="7" t="s">
        <v>166</v>
      </c>
      <c r="C26" s="6" t="s">
        <v>13</v>
      </c>
      <c r="D26" s="6">
        <v>10</v>
      </c>
      <c r="E26" s="7" t="s">
        <v>167</v>
      </c>
      <c r="F26" s="6" t="s">
        <v>25</v>
      </c>
      <c r="G26" s="6">
        <v>9.5</v>
      </c>
      <c r="H26" s="6">
        <v>1.19</v>
      </c>
      <c r="I26" s="6" t="s">
        <v>168</v>
      </c>
    </row>
    <row r="27" ht="cIdx =&gt; row[4].length &gt; 80 ? 45 : 22" customHeight="1" spans="1:9" x14ac:dyDescent="0.25">
      <c r="A27" s="6" t="s">
        <v>169</v>
      </c>
      <c r="B27" s="7" t="s">
        <v>170</v>
      </c>
      <c r="C27" s="6" t="s">
        <v>13</v>
      </c>
      <c r="D27" s="6">
        <v>9</v>
      </c>
      <c r="E27" s="7" t="s">
        <v>171</v>
      </c>
      <c r="F27" s="6" t="s">
        <v>25</v>
      </c>
      <c r="G27" s="6">
        <v>9</v>
      </c>
      <c r="H27" s="6">
        <v>1.13</v>
      </c>
      <c r="I27" s="6" t="s">
        <v>172</v>
      </c>
    </row>
    <row r="28" ht="cIdx =&gt; row[4].length &gt; 80 ? 45 : 22" customHeight="1" spans="1:9" x14ac:dyDescent="0.25">
      <c r="A28" s="6" t="s">
        <v>173</v>
      </c>
      <c r="B28" s="7" t="s">
        <v>174</v>
      </c>
      <c r="C28" s="6" t="s">
        <v>13</v>
      </c>
      <c r="D28" s="6">
        <v>8</v>
      </c>
      <c r="E28" s="7" t="s">
        <v>175</v>
      </c>
      <c r="F28" s="6" t="s">
        <v>25</v>
      </c>
      <c r="G28" s="6">
        <v>8.5</v>
      </c>
      <c r="H28" s="6">
        <v>1.06</v>
      </c>
      <c r="I28" s="6" t="s">
        <v>176</v>
      </c>
    </row>
    <row r="29" ht="cIdx =&gt; row[4].length &gt; 80 ? 45 : 22" customHeight="1" spans="1:9" x14ac:dyDescent="0.25">
      <c r="A29" s="6" t="s">
        <v>177</v>
      </c>
      <c r="B29" s="7" t="s">
        <v>178</v>
      </c>
      <c r="C29" s="6" t="s">
        <v>50</v>
      </c>
      <c r="D29" s="6">
        <v>18</v>
      </c>
      <c r="E29" s="7" t="s">
        <v>179</v>
      </c>
      <c r="F29" s="6" t="s">
        <v>25</v>
      </c>
      <c r="G29" s="6">
        <v>13.5</v>
      </c>
      <c r="H29" s="6">
        <v>1.69</v>
      </c>
      <c r="I29" s="6" t="s">
        <v>180</v>
      </c>
    </row>
    <row r="30" ht="cIdx =&gt; row[4].length &gt; 80 ? 45 : 22" customHeight="1" spans="1:9" x14ac:dyDescent="0.25">
      <c r="A30" s="6" t="s">
        <v>181</v>
      </c>
      <c r="B30" s="7" t="s">
        <v>182</v>
      </c>
      <c r="C30" s="6" t="s">
        <v>47</v>
      </c>
      <c r="D30" s="6">
        <v>12</v>
      </c>
      <c r="E30" s="7" t="s">
        <v>183</v>
      </c>
      <c r="F30" s="6" t="s">
        <v>25</v>
      </c>
      <c r="G30" s="6">
        <v>14.5</v>
      </c>
      <c r="H30" s="6">
        <v>1.81</v>
      </c>
      <c r="I30" s="6" t="s">
        <v>184</v>
      </c>
    </row>
    <row r="31" ht="cIdx =&gt; row[4].length &gt; 80 ? 45 : 22" customHeight="1" spans="1:9" x14ac:dyDescent="0.25">
      <c r="A31" s="6" t="s">
        <v>185</v>
      </c>
      <c r="B31" s="7" t="s">
        <v>77</v>
      </c>
      <c r="C31" s="6" t="s">
        <v>13</v>
      </c>
      <c r="D31" s="6">
        <v>6</v>
      </c>
      <c r="E31" s="7" t="s">
        <v>14</v>
      </c>
      <c r="F31" s="6" t="s">
        <v>25</v>
      </c>
      <c r="G31" s="6">
        <v>3.5</v>
      </c>
      <c r="H31" s="6">
        <v>0.44</v>
      </c>
      <c r="I31" s="6" t="s">
        <v>186</v>
      </c>
    </row>
    <row r="32" ht="cIdx =&gt; row[4].length &gt; 80 ? 45 : 22" customHeight="1" spans="1:9" x14ac:dyDescent="0.25">
      <c r="A32" s="6" t="s">
        <v>187</v>
      </c>
      <c r="B32" s="7" t="s">
        <v>188</v>
      </c>
      <c r="C32" s="6" t="s">
        <v>47</v>
      </c>
      <c r="D32" s="6">
        <v>16</v>
      </c>
      <c r="E32" s="7" t="s">
        <v>189</v>
      </c>
      <c r="F32" s="6" t="s">
        <v>25</v>
      </c>
      <c r="G32" s="6">
        <v>12.5</v>
      </c>
      <c r="H32" s="6">
        <v>1.56</v>
      </c>
      <c r="I32" s="6" t="s">
        <v>190</v>
      </c>
    </row>
    <row r="33" ht="cIdx =&gt; row[4].length &gt; 80 ? 45 : 22" customHeight="1" spans="1:9" x14ac:dyDescent="0.25">
      <c r="A33" s="6" t="s">
        <v>191</v>
      </c>
      <c r="B33" s="7" t="s">
        <v>192</v>
      </c>
      <c r="C33" s="6" t="s">
        <v>50</v>
      </c>
      <c r="D33" s="6">
        <v>7</v>
      </c>
      <c r="E33" s="7" t="s">
        <v>75</v>
      </c>
      <c r="F33" s="6" t="s">
        <v>25</v>
      </c>
      <c r="G33" s="6">
        <v>4</v>
      </c>
      <c r="H33" s="6">
        <v>0.5</v>
      </c>
      <c r="I33" s="6" t="s">
        <v>193</v>
      </c>
    </row>
    <row r="34" ht="cIdx =&gt; row[4].length &gt; 80 ? 45 : 22" customHeight="1" spans="1:9" x14ac:dyDescent="0.25">
      <c r="A34" s="6" t="s">
        <v>194</v>
      </c>
      <c r="B34" s="7" t="s">
        <v>195</v>
      </c>
      <c r="C34" s="6" t="s">
        <v>50</v>
      </c>
      <c r="D34" s="6">
        <v>10</v>
      </c>
      <c r="E34" s="7" t="s">
        <v>75</v>
      </c>
      <c r="F34" s="6" t="s">
        <v>25</v>
      </c>
      <c r="G34" s="6">
        <v>5.5</v>
      </c>
      <c r="H34" s="6">
        <v>0.69</v>
      </c>
      <c r="I34" s="6" t="s">
        <v>193</v>
      </c>
    </row>
    <row r="35" ht="cIdx =&gt; row[4].length &gt; 80 ? 45 : 22" customHeight="1" spans="1:9" x14ac:dyDescent="0.25">
      <c r="A35" s="6" t="s">
        <v>196</v>
      </c>
      <c r="B35" s="7" t="s">
        <v>74</v>
      </c>
      <c r="C35" s="6" t="s">
        <v>13</v>
      </c>
      <c r="D35" s="6">
        <v>7</v>
      </c>
      <c r="E35" s="7" t="s">
        <v>75</v>
      </c>
      <c r="F35" s="6" t="s">
        <v>25</v>
      </c>
      <c r="G35" s="6">
        <v>4</v>
      </c>
      <c r="H35" s="6">
        <v>0.5</v>
      </c>
      <c r="I35" s="6" t="s">
        <v>197</v>
      </c>
    </row>
    <row r="36" ht="cIdx =&gt; row[4].length &gt; 80 ? 45 : 22" customHeight="1" spans="1:9" x14ac:dyDescent="0.25">
      <c r="A36" s="6" t="s">
        <v>198</v>
      </c>
      <c r="B36" s="7" t="s">
        <v>199</v>
      </c>
      <c r="C36" s="6" t="s">
        <v>47</v>
      </c>
      <c r="D36" s="6">
        <v>6</v>
      </c>
      <c r="E36" s="7" t="s">
        <v>75</v>
      </c>
      <c r="F36" s="6" t="s">
        <v>25</v>
      </c>
      <c r="G36" s="6">
        <v>3.5</v>
      </c>
      <c r="H36" s="6">
        <v>0.44</v>
      </c>
      <c r="I36" s="6" t="s">
        <v>197</v>
      </c>
    </row>
    <row r="37" ht="cIdx =&gt; row[4].length &gt; 80 ? 45 : 22" customHeight="1" spans="1:9" x14ac:dyDescent="0.25">
      <c r="A37" s="6" t="s">
        <v>200</v>
      </c>
      <c r="B37" s="7" t="s">
        <v>201</v>
      </c>
      <c r="C37" s="6" t="s">
        <v>50</v>
      </c>
      <c r="D37" s="6">
        <v>5</v>
      </c>
      <c r="E37" s="7" t="s">
        <v>14</v>
      </c>
      <c r="F37" s="6" t="s">
        <v>25</v>
      </c>
      <c r="G37" s="6">
        <v>3</v>
      </c>
      <c r="H37" s="6">
        <v>0.38</v>
      </c>
      <c r="I37" s="6" t="s">
        <v>202</v>
      </c>
    </row>
    <row r="38" ht="cIdx =&gt; row[4].length &gt; 80 ? 45 : 22" customHeight="1" spans="1:9" x14ac:dyDescent="0.25">
      <c r="A38" s="6" t="s">
        <v>203</v>
      </c>
      <c r="B38" s="7" t="s">
        <v>204</v>
      </c>
      <c r="C38" s="6" t="s">
        <v>50</v>
      </c>
      <c r="D38" s="6">
        <v>4</v>
      </c>
      <c r="E38" s="7" t="s">
        <v>75</v>
      </c>
      <c r="F38" s="6" t="s">
        <v>25</v>
      </c>
      <c r="G38" s="6">
        <v>2.5</v>
      </c>
      <c r="H38" s="6">
        <v>0.31</v>
      </c>
      <c r="I38" s="6" t="s">
        <v>202</v>
      </c>
    </row>
    <row r="39" ht="cIdx =&gt; row[4].length &gt; 80 ? 45 : 22" customHeight="1" spans="1:9" x14ac:dyDescent="0.25">
      <c r="A39" s="6" t="s">
        <v>205</v>
      </c>
      <c r="B39" s="7" t="s">
        <v>206</v>
      </c>
      <c r="C39" s="6" t="s">
        <v>50</v>
      </c>
      <c r="D39" s="6">
        <v>5</v>
      </c>
      <c r="E39" s="7" t="s">
        <v>207</v>
      </c>
      <c r="F39" s="6" t="s">
        <v>25</v>
      </c>
      <c r="G39" s="6">
        <v>7</v>
      </c>
      <c r="H39" s="6">
        <v>0.88</v>
      </c>
      <c r="I39" s="6" t="s">
        <v>208</v>
      </c>
    </row>
    <row r="40" ht="cIdx =&gt; row[4].length &gt; 80 ? 45 : 22" customHeight="1" spans="1:9" x14ac:dyDescent="0.25">
      <c r="A40" s="6" t="s">
        <v>209</v>
      </c>
      <c r="B40" s="7" t="s">
        <v>210</v>
      </c>
      <c r="C40" s="6" t="s">
        <v>50</v>
      </c>
      <c r="D40" s="6">
        <v>11</v>
      </c>
      <c r="E40" s="7" t="s">
        <v>211</v>
      </c>
      <c r="F40" s="6" t="s">
        <v>25</v>
      </c>
      <c r="G40" s="6">
        <v>10</v>
      </c>
      <c r="H40" s="6">
        <v>1.25</v>
      </c>
      <c r="I40" s="6" t="s">
        <v>212</v>
      </c>
    </row>
    <row r="41" ht="cIdx =&gt; row[4].length &gt; 80 ? 45 : 22" customHeight="1" spans="1:9" x14ac:dyDescent="0.25">
      <c r="A41" s="6" t="s">
        <v>213</v>
      </c>
      <c r="B41" s="7" t="s">
        <v>214</v>
      </c>
      <c r="C41" s="6" t="s">
        <v>50</v>
      </c>
      <c r="D41" s="6">
        <v>8</v>
      </c>
      <c r="E41" s="7" t="s">
        <v>215</v>
      </c>
      <c r="F41" s="6" t="s">
        <v>25</v>
      </c>
      <c r="G41" s="6">
        <v>8.5</v>
      </c>
      <c r="H41" s="6">
        <v>1.06</v>
      </c>
      <c r="I41" s="6" t="s">
        <v>216</v>
      </c>
    </row>
    <row r="42" ht="cIdx =&gt; row[4].length &gt; 80 ? 45 : 22" customHeight="1" spans="1:9" x14ac:dyDescent="0.25">
      <c r="A42" s="6" t="s">
        <v>217</v>
      </c>
      <c r="B42" s="7" t="s">
        <v>218</v>
      </c>
      <c r="C42" s="6" t="s">
        <v>50</v>
      </c>
      <c r="D42" s="6">
        <v>10</v>
      </c>
      <c r="E42" s="7" t="s">
        <v>219</v>
      </c>
      <c r="F42" s="6" t="s">
        <v>25</v>
      </c>
      <c r="G42" s="6">
        <v>9.5</v>
      </c>
      <c r="H42" s="6">
        <v>1.19</v>
      </c>
      <c r="I42" s="6" t="s">
        <v>220</v>
      </c>
    </row>
    <row r="43" ht="cIdx =&gt; row[4].length &gt; 80 ? 45 : 22" customHeight="1" spans="1:9" x14ac:dyDescent="0.25">
      <c r="A43" s="6" t="s">
        <v>221</v>
      </c>
      <c r="B43" s="7" t="s">
        <v>222</v>
      </c>
      <c r="C43" s="6" t="s">
        <v>50</v>
      </c>
      <c r="D43" s="6">
        <v>6</v>
      </c>
      <c r="E43" s="7" t="s">
        <v>223</v>
      </c>
      <c r="F43" s="6" t="s">
        <v>25</v>
      </c>
      <c r="G43" s="6">
        <v>11.5</v>
      </c>
      <c r="H43" s="6">
        <v>1.44</v>
      </c>
      <c r="I43" s="6" t="s">
        <v>224</v>
      </c>
    </row>
    <row r="44" ht="cIdx =&gt; row[4].length &gt; 80 ? 45 : 22" customHeight="1" spans="1:9" x14ac:dyDescent="0.25">
      <c r="A44" s="6" t="s">
        <v>225</v>
      </c>
      <c r="B44" s="7" t="s">
        <v>226</v>
      </c>
      <c r="C44" s="6" t="s">
        <v>50</v>
      </c>
      <c r="D44" s="6">
        <v>6</v>
      </c>
      <c r="E44" s="7" t="s">
        <v>227</v>
      </c>
      <c r="F44" s="6" t="s">
        <v>25</v>
      </c>
      <c r="G44" s="6">
        <v>7.5</v>
      </c>
      <c r="H44" s="6">
        <v>0.94</v>
      </c>
      <c r="I44" s="6" t="s">
        <v>228</v>
      </c>
    </row>
    <row r="45" ht="cIdx =&gt; row[4].length &gt; 80 ? 45 : 22" customHeight="1" spans="1:9" x14ac:dyDescent="0.25">
      <c r="A45" s="6" t="s">
        <v>229</v>
      </c>
      <c r="B45" s="7" t="s">
        <v>230</v>
      </c>
      <c r="C45" s="6" t="s">
        <v>50</v>
      </c>
      <c r="D45" s="6">
        <v>6</v>
      </c>
      <c r="E45" s="7" t="s">
        <v>231</v>
      </c>
      <c r="F45" s="6" t="s">
        <v>25</v>
      </c>
      <c r="G45" s="6">
        <v>11.5</v>
      </c>
      <c r="H45" s="6">
        <v>1.44</v>
      </c>
      <c r="I45" s="6" t="s">
        <v>232</v>
      </c>
    </row>
    <row r="46" ht="cIdx =&gt; row[4].length &gt; 80 ? 45 : 22" customHeight="1" spans="1:9" x14ac:dyDescent="0.25">
      <c r="A46" s="6" t="s">
        <v>233</v>
      </c>
      <c r="B46" s="7" t="s">
        <v>234</v>
      </c>
      <c r="C46" s="6" t="s">
        <v>50</v>
      </c>
      <c r="D46" s="6">
        <v>5</v>
      </c>
      <c r="E46" s="7" t="s">
        <v>235</v>
      </c>
      <c r="F46" s="6" t="s">
        <v>25</v>
      </c>
      <c r="G46" s="6">
        <v>11</v>
      </c>
      <c r="H46" s="6">
        <v>1.38</v>
      </c>
      <c r="I46" s="6" t="s">
        <v>236</v>
      </c>
    </row>
    <row r="47" ht="cIdx =&gt; row[4].length &gt; 80 ? 45 : 22" customHeight="1" spans="1:9" x14ac:dyDescent="0.25">
      <c r="A47" s="6" t="s">
        <v>237</v>
      </c>
      <c r="B47" s="7" t="s">
        <v>238</v>
      </c>
      <c r="C47" s="6" t="s">
        <v>50</v>
      </c>
      <c r="D47" s="6">
        <v>8</v>
      </c>
      <c r="E47" s="7" t="s">
        <v>239</v>
      </c>
      <c r="F47" s="6" t="s">
        <v>25</v>
      </c>
      <c r="G47" s="6">
        <v>8.5</v>
      </c>
      <c r="H47" s="6">
        <v>1.06</v>
      </c>
      <c r="I47" s="6" t="s">
        <v>240</v>
      </c>
    </row>
    <row r="48" ht="cIdx =&gt; row[4].length &gt; 80 ? 45 : 22" customHeight="1" spans="1:9" x14ac:dyDescent="0.25">
      <c r="A48" s="6" t="s">
        <v>241</v>
      </c>
      <c r="B48" s="7" t="s">
        <v>242</v>
      </c>
      <c r="C48" s="6" t="s">
        <v>50</v>
      </c>
      <c r="D48" s="6">
        <v>8</v>
      </c>
      <c r="E48" s="7" t="s">
        <v>211</v>
      </c>
      <c r="F48" s="6" t="s">
        <v>25</v>
      </c>
      <c r="G48" s="6">
        <v>8.5</v>
      </c>
      <c r="H48" s="6">
        <v>1.06</v>
      </c>
      <c r="I48" s="6" t="s">
        <v>243</v>
      </c>
    </row>
    <row r="49" ht="cIdx =&gt; row[4].length &gt; 80 ? 45 : 22" customHeight="1" spans="1:9" x14ac:dyDescent="0.25">
      <c r="A49" s="6" t="s">
        <v>244</v>
      </c>
      <c r="B49" s="7" t="s">
        <v>245</v>
      </c>
      <c r="C49" s="6" t="s">
        <v>50</v>
      </c>
      <c r="D49" s="6">
        <v>7</v>
      </c>
      <c r="E49" s="7" t="s">
        <v>246</v>
      </c>
      <c r="F49" s="6" t="s">
        <v>25</v>
      </c>
      <c r="G49" s="6">
        <v>8</v>
      </c>
      <c r="H49" s="6">
        <v>1</v>
      </c>
      <c r="I49" s="6" t="s">
        <v>247</v>
      </c>
    </row>
    <row r="50" ht="cIdx =&gt; row[4].length &gt; 80 ? 45 : 22" customHeight="1" spans="1:9" x14ac:dyDescent="0.25">
      <c r="A50" s="6" t="s">
        <v>248</v>
      </c>
      <c r="B50" s="7" t="s">
        <v>249</v>
      </c>
      <c r="C50" s="6" t="s">
        <v>50</v>
      </c>
      <c r="D50" s="6">
        <v>10</v>
      </c>
      <c r="E50" s="7" t="s">
        <v>250</v>
      </c>
      <c r="F50" s="6" t="s">
        <v>25</v>
      </c>
      <c r="G50" s="6">
        <v>9.5</v>
      </c>
      <c r="H50" s="6">
        <v>1.19</v>
      </c>
      <c r="I50" s="6" t="s">
        <v>251</v>
      </c>
    </row>
    <row r="51" ht="cIdx =&gt; row[4].length &gt; 80 ? 45 : 22" customHeight="1" spans="1:9" x14ac:dyDescent="0.25">
      <c r="A51" s="6" t="s">
        <v>252</v>
      </c>
      <c r="B51" s="7" t="s">
        <v>253</v>
      </c>
      <c r="C51" s="6" t="s">
        <v>50</v>
      </c>
      <c r="D51" s="6">
        <v>5</v>
      </c>
      <c r="E51" s="7" t="s">
        <v>14</v>
      </c>
      <c r="F51" s="6" t="s">
        <v>25</v>
      </c>
      <c r="G51" s="6">
        <v>3</v>
      </c>
      <c r="H51" s="6">
        <v>0.38</v>
      </c>
      <c r="I51" s="6" t="s">
        <v>251</v>
      </c>
    </row>
    <row r="53" spans="1:9" x14ac:dyDescent="0.25">
      <c r="A53" s="8" t="s">
        <v>79</v>
      </c>
      <c r="B53" s="8"/>
      <c r="C53" s="8"/>
      <c r="D53" s="8"/>
      <c r="E53" s="8"/>
      <c r="F53" s="9" t="s">
        <v>254</v>
      </c>
      <c r="G53" s="10">
        <f>SUM(G4:G51)</f>
      </c>
      <c r="H53" s="11">
        <f>SUM(H4:H51)</f>
      </c>
      <c r="I53" s="12" t="s">
        <v>251</v>
      </c>
    </row>
  </sheetData>
  <autoFilter ref="A3:I51"/>
  <mergeCells count="2">
    <mergeCell ref="A1:B1"/>
    <mergeCell ref="A53:E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COOPEGUANACASTE</vt:lpstr>
      <vt:lpstr>EMBRIX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EmbrixAuto</dc:creator>
  <dc:title/>
  <dc:subject/>
  <dc:description/>
  <cp:keywords/>
  <cp:category/>
  <cp:lastModifiedBy>Unknown</cp:lastModifiedBy>
  <dcterms:created xsi:type="dcterms:W3CDTF">2026-06-05T05:57:22Z</dcterms:created>
  <dcterms:modified xsi:type="dcterms:W3CDTF">2026-06-05T05:57:22Z</dcterms:modified>
</cp:coreProperties>
</file>